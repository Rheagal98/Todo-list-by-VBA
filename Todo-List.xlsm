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BA project\Todo list By VBA\"/>
    </mc:Choice>
  </mc:AlternateContent>
  <xr:revisionPtr revIDLastSave="0" documentId="13_ncr:1_{056FFE89-2F09-4B7F-B5B3-1EEDA2BDD7D7}" xr6:coauthVersionLast="47" xr6:coauthVersionMax="47" xr10:uidLastSave="{00000000-0000-0000-0000-000000000000}"/>
  <bookViews>
    <workbookView xWindow="-108" yWindow="-108" windowWidth="23256" windowHeight="12456" xr2:uid="{4CDA590C-83F3-43C1-B25B-CFD5463AD8D6}"/>
  </bookViews>
  <sheets>
    <sheet name="Sheet1" sheetId="1" r:id="rId1"/>
    <sheet name="Sheet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2" l="1"/>
  <c r="E16" i="2"/>
  <c r="F18" i="2" s="1"/>
  <c r="F16" i="2"/>
  <c r="E18" i="2" s="1"/>
  <c r="G16" i="2"/>
  <c r="H16" i="2"/>
  <c r="I16" i="2"/>
  <c r="J18" i="2" s="1"/>
  <c r="J16" i="2"/>
  <c r="I18" i="2" s="1"/>
  <c r="K16" i="2"/>
  <c r="L16" i="2"/>
  <c r="M16" i="2"/>
  <c r="N16" i="2"/>
  <c r="C16" i="2"/>
  <c r="B16" i="2"/>
  <c r="A16" i="2"/>
  <c r="R33" i="1" l="1"/>
  <c r="G33" i="1"/>
  <c r="M18" i="2"/>
  <c r="N18" i="2"/>
  <c r="K18" i="2"/>
  <c r="L18" i="2"/>
  <c r="C18" i="2"/>
  <c r="D18" i="2"/>
  <c r="G18" i="2"/>
  <c r="H18" i="2"/>
  <c r="A18" i="2"/>
  <c r="B18" i="2"/>
  <c r="I19" i="2"/>
  <c r="E19" i="2"/>
  <c r="P18" i="2" s="1"/>
  <c r="M19" i="2" l="1"/>
  <c r="C49" i="2"/>
  <c r="K19" i="2"/>
  <c r="C19" i="2"/>
  <c r="G19" i="2"/>
  <c r="A19" i="2"/>
  <c r="E49" i="2"/>
  <c r="G49" i="2" l="1"/>
  <c r="B49" i="2"/>
  <c r="F49" i="2"/>
  <c r="D49" i="2"/>
  <c r="A49" i="2"/>
</calcChain>
</file>

<file path=xl/sharedStrings.xml><?xml version="1.0" encoding="utf-8"?>
<sst xmlns="http://schemas.openxmlformats.org/spreadsheetml/2006/main" count="60" uniqueCount="24">
  <si>
    <t>Monday</t>
  </si>
  <si>
    <t>Tuesday</t>
  </si>
  <si>
    <t>Wenesday</t>
  </si>
  <si>
    <t>Thursday</t>
  </si>
  <si>
    <t>Friday</t>
  </si>
  <si>
    <t>Saturday</t>
  </si>
  <si>
    <t>Sunday</t>
  </si>
  <si>
    <t>Done</t>
  </si>
  <si>
    <t>Remain</t>
  </si>
  <si>
    <t>PROGRESS</t>
  </si>
  <si>
    <t>Investment chapter 4</t>
  </si>
  <si>
    <t>Pronounciation ei, e, ae</t>
  </si>
  <si>
    <t>Investment home work</t>
  </si>
  <si>
    <t>English - Speaking</t>
  </si>
  <si>
    <t>CFA - Book 3</t>
  </si>
  <si>
    <t>English - pronouciation</t>
  </si>
  <si>
    <t>English - Pronouciation</t>
  </si>
  <si>
    <t>Investment - home work</t>
  </si>
  <si>
    <t>Task 1</t>
  </si>
  <si>
    <t>Task 2</t>
  </si>
  <si>
    <t>Task 3</t>
  </si>
  <si>
    <t>Task 5</t>
  </si>
  <si>
    <t>Task 4</t>
  </si>
  <si>
    <t>Task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</si>
</sst>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4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2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3"/>
      <color theme="0"/>
      <name val="Times New Roman"/>
      <family val="1"/>
    </font>
    <font>
      <b/>
      <sz val="13"/>
      <color theme="5" tint="0.39997558519241921"/>
      <name val="Times New Roman"/>
      <family val="1"/>
    </font>
    <font>
      <sz val="11"/>
      <color rgb="FF7030A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/>
    <xf numFmtId="0" fontId="0" fillId="0" borderId="0" xfId="0"/>
    <xf numFmtId="0" fontId="0" fillId="4" borderId="0" xfId="0" applyFill="1"/>
    <xf numFmtId="0" fontId="6" fillId="0" borderId="0" xfId="0" applyFont="1"/>
    <xf numFmtId="9" fontId="0" fillId="0" borderId="0" xfId="0" applyNumberFormat="1"/>
    <xf numFmtId="0" fontId="0" fillId="0" borderId="1" xfId="0" applyBorder="1"/>
    <xf numFmtId="0" fontId="3" fillId="0" borderId="1" xfId="0" applyFont="1" applyFill="1" applyBorder="1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9" fontId="0" fillId="0" borderId="1" xfId="1" applyFont="1" applyBorder="1"/>
    <xf numFmtId="0" fontId="9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EC9146"/>
      <color rgb="FF7A34AE"/>
      <color rgb="FFDC7B40"/>
      <color rgb="FFDE854E"/>
      <color rgb="FFE08B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FF-4BEA-99C9-E934D1129C9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FF-4BEA-99C9-E934D1129C9B}"/>
              </c:ext>
            </c:extLst>
          </c:dPt>
          <c:cat>
            <c:strRef>
              <c:f>Sheet2!$A$17:$B$17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Sheet2!$A$18:$B$18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FF-4BEA-99C9-E934D1129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B3-49E6-BCE7-6D9CFFF93449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B3-49E6-BCE7-6D9CFFF93449}"/>
              </c:ext>
            </c:extLst>
          </c:dPt>
          <c:cat>
            <c:strRef>
              <c:f>Sheet2!$C$17:$D$17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Sheet2!$C$18:$D$18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B3-49E6-BCE7-6D9CFFF93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BCC-4650-90EE-31470A72B3AF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BCC-4650-90EE-31470A72B3AF}"/>
              </c:ext>
            </c:extLst>
          </c:dPt>
          <c:cat>
            <c:strRef>
              <c:f>Sheet2!$E$17:$F$17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Sheet2!$E$18:$F$18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C-4650-90EE-31470A72B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D5-42C6-8CCE-4BB5714CF61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D5-42C6-8CCE-4BB5714CF61B}"/>
              </c:ext>
            </c:extLst>
          </c:dPt>
          <c:cat>
            <c:strRef>
              <c:f>Sheet2!$G$17:$H$17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Sheet2!$G$18:$H$18</c:f>
              <c:numCache>
                <c:formatCode>General</c:formatCode>
                <c:ptCount val="2"/>
                <c:pt idx="0">
                  <c:v>4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D5-42C6-8CCE-4BB5714CF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41-42B9-950B-0E8504249820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41-42B9-950B-0E8504249820}"/>
              </c:ext>
            </c:extLst>
          </c:dPt>
          <c:cat>
            <c:strRef>
              <c:f>Sheet2!$I$17:$J$17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Sheet2!$I$18:$J$18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41-42B9-950B-0E8504249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EC-4D58-AF0A-DC9A5D867C1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EC-4D58-AF0A-DC9A5D867C1B}"/>
              </c:ext>
            </c:extLst>
          </c:dPt>
          <c:cat>
            <c:strRef>
              <c:f>Sheet2!$K$17:$L$17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Sheet2!$K$18:$L$18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EC-4D58-AF0A-DC9A5D867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D2-4880-A655-CE88A45C7095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D2-4880-A655-CE88A45C7095}"/>
              </c:ext>
            </c:extLst>
          </c:dPt>
          <c:cat>
            <c:strRef>
              <c:f>Sheet2!$M$17:$N$17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Sheet2!$M$18:$N$18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D2-4880-A655-CE88A45C7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25400" cap="rnd">
                <a:solidFill>
                  <a:schemeClr val="bg1"/>
                </a:solidFill>
                <a:round/>
              </a:ln>
              <a:effectLst>
                <a:outerShdw dist="25400" dir="2700000" algn="tl" rotWithShape="0">
                  <a:schemeClr val="accent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B45-4613-915E-07013CE37C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Sheet2!$A$48:$G$48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Sheet2!$A$49:$G$49</c:f>
              <c:numCache>
                <c:formatCode>0%</c:formatCode>
                <c:ptCount val="7"/>
                <c:pt idx="0">
                  <c:v>0.33333333333333331</c:v>
                </c:pt>
                <c:pt idx="1">
                  <c:v>0</c:v>
                </c:pt>
                <c:pt idx="2">
                  <c:v>0.4</c:v>
                </c:pt>
                <c:pt idx="3">
                  <c:v>0.66666666666666663</c:v>
                </c:pt>
                <c:pt idx="4">
                  <c:v>0.5</c:v>
                </c:pt>
                <c:pt idx="5">
                  <c:v>0.75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5-4613-915E-07013CE37C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71998672"/>
        <c:axId val="171991184"/>
      </c:lineChart>
      <c:catAx>
        <c:axId val="17199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1184"/>
        <c:crosses val="autoZero"/>
        <c:auto val="1"/>
        <c:lblAlgn val="ctr"/>
        <c:lblOffset val="100"/>
        <c:noMultiLvlLbl val="0"/>
      </c:catAx>
      <c:valAx>
        <c:axId val="17199118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7199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0D-4B4B-86D2-EEE3E11419A3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0D-4B4B-86D2-EEE3E11419A3}"/>
              </c:ext>
            </c:extLst>
          </c:dPt>
          <c:cat>
            <c:strRef>
              <c:f>Sheet2!$A$17:$B$17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Sheet2!$A$18:$B$18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1-4E55-ACCD-58C7CE3B7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B6-47D1-BC18-2605AF4CE0CE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B6-47D1-BC18-2605AF4CE0CE}"/>
              </c:ext>
            </c:extLst>
          </c:dPt>
          <c:cat>
            <c:strRef>
              <c:f>Sheet2!$C$17:$D$17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Sheet2!$C$18:$D$18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4-4C75-AC0A-A415AE484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C9F-47B6-85A5-D11C60E405E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C9F-47B6-85A5-D11C60E405E6}"/>
              </c:ext>
            </c:extLst>
          </c:dPt>
          <c:cat>
            <c:strRef>
              <c:f>Sheet2!$E$17:$F$17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Sheet2!$E$18:$F$18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7-4BCA-BF52-0BCD4975C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32-45C7-8BA5-F164D8210393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32-45C7-8BA5-F164D8210393}"/>
              </c:ext>
            </c:extLst>
          </c:dPt>
          <c:cat>
            <c:strRef>
              <c:f>Sheet2!$G$17:$H$17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Sheet2!$G$18:$H$18</c:f>
              <c:numCache>
                <c:formatCode>General</c:formatCode>
                <c:ptCount val="2"/>
                <c:pt idx="0">
                  <c:v>4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C-4C9F-841E-882EF2A27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FC-4DE0-A12F-94FD1700B124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19C-44FE-9B83-C3A571DE4846}"/>
              </c:ext>
            </c:extLst>
          </c:dPt>
          <c:val>
            <c:numRef>
              <c:f>Sheet2!$I$16:$J$16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C-44FE-9B83-C3A571DE4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EB-4349-83FA-339CB83294A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FE5-4A6E-8CEC-FC2CF27399E7}"/>
              </c:ext>
            </c:extLst>
          </c:dPt>
          <c:cat>
            <c:strRef>
              <c:f>Sheet2!$I$17:$J$17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Sheet2!$I$18:$J$18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5-4A6E-8CEC-FC2CF2739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65-414A-AB92-821CD67CE46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521-49D1-A845-0EAD18CB68B5}"/>
              </c:ext>
            </c:extLst>
          </c:dPt>
          <c:cat>
            <c:strRef>
              <c:f>Sheet2!$K$17:$L$17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Sheet2!$K$18:$L$18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1-49D1-A845-0EAD18CB6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B2-4DD1-B342-8E0A625ACBF8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41E-495C-848B-8ADE4D2C1189}"/>
              </c:ext>
            </c:extLst>
          </c:dPt>
          <c:cat>
            <c:strRef>
              <c:f>Sheet2!$M$17:$N$17</c:f>
              <c:strCache>
                <c:ptCount val="2"/>
                <c:pt idx="0">
                  <c:v>Done</c:v>
                </c:pt>
                <c:pt idx="1">
                  <c:v>Remain</c:v>
                </c:pt>
              </c:strCache>
            </c:strRef>
          </c:cat>
          <c:val>
            <c:numRef>
              <c:f>Sheet2!$M$18:$N$18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E-495C-848B-8ADE4D2C1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Sheet2!$A$48:$G$48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Sheet2!$A$49:$G$49</c:f>
              <c:numCache>
                <c:formatCode>0%</c:formatCode>
                <c:ptCount val="7"/>
                <c:pt idx="0">
                  <c:v>0.33333333333333331</c:v>
                </c:pt>
                <c:pt idx="1">
                  <c:v>0</c:v>
                </c:pt>
                <c:pt idx="2">
                  <c:v>0.4</c:v>
                </c:pt>
                <c:pt idx="3">
                  <c:v>0.66666666666666663</c:v>
                </c:pt>
                <c:pt idx="4">
                  <c:v>0.5</c:v>
                </c:pt>
                <c:pt idx="5">
                  <c:v>0.75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9-4E3F-B545-B80A668585C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71998672"/>
        <c:axId val="171991184"/>
      </c:lineChart>
      <c:catAx>
        <c:axId val="17199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1184"/>
        <c:crosses val="autoZero"/>
        <c:auto val="1"/>
        <c:lblAlgn val="ctr"/>
        <c:lblOffset val="100"/>
        <c:noMultiLvlLbl val="0"/>
      </c:catAx>
      <c:valAx>
        <c:axId val="17199118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7199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3.svg"/><Relationship Id="rId4" Type="http://schemas.openxmlformats.org/officeDocument/2006/relationships/chart" Target="../charts/chart4.xml"/><Relationship Id="rId9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33052</xdr:colOff>
      <xdr:row>9</xdr:row>
      <xdr:rowOff>119350</xdr:rowOff>
    </xdr:from>
    <xdr:to>
      <xdr:col>2</xdr:col>
      <xdr:colOff>253389</xdr:colOff>
      <xdr:row>11</xdr:row>
      <xdr:rowOff>17283</xdr:rowOff>
    </xdr:to>
    <xdr:sp macro="[0]!monday" textlink="">
      <xdr:nvSpPr>
        <xdr:cNvPr id="2" name="mondayoff">
          <a:extLst>
            <a:ext uri="{FF2B5EF4-FFF2-40B4-BE49-F238E27FC236}">
              <a16:creationId xmlns:a16="http://schemas.microsoft.com/office/drawing/2014/main" id="{5F08B56D-5CC6-4560-995C-25F369F7D1B9}"/>
            </a:ext>
          </a:extLst>
        </xdr:cNvPr>
        <xdr:cNvSpPr/>
      </xdr:nvSpPr>
      <xdr:spPr>
        <a:xfrm>
          <a:off x="33052" y="1771880"/>
          <a:ext cx="1432192" cy="265162"/>
        </a:xfrm>
        <a:prstGeom prst="roundRect">
          <a:avLst/>
        </a:prstGeom>
        <a:solidFill>
          <a:srgbClr val="4040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tIns="45720" rtlCol="0" anchor="t">
          <a:noAutofit/>
        </a:bodyPr>
        <a:lstStyle/>
        <a:p>
          <a:pPr algn="l"/>
          <a:r>
            <a:rPr lang="en-US" sz="1500" b="1">
              <a:latin typeface="Aharoni" panose="020B0604020202020204" pitchFamily="2" charset="-79"/>
              <a:cs typeface="Aharoni" panose="020B0604020202020204" pitchFamily="2" charset="-79"/>
            </a:rPr>
            <a:t>Monday</a:t>
          </a:r>
        </a:p>
      </xdr:txBody>
    </xdr:sp>
    <xdr:clientData/>
  </xdr:twoCellAnchor>
  <xdr:twoCellAnchor>
    <xdr:from>
      <xdr:col>0</xdr:col>
      <xdr:colOff>33052</xdr:colOff>
      <xdr:row>12</xdr:row>
      <xdr:rowOff>60593</xdr:rowOff>
    </xdr:from>
    <xdr:to>
      <xdr:col>2</xdr:col>
      <xdr:colOff>253389</xdr:colOff>
      <xdr:row>13</xdr:row>
      <xdr:rowOff>114598</xdr:rowOff>
    </xdr:to>
    <xdr:sp macro="[0]!tuesday" textlink="">
      <xdr:nvSpPr>
        <xdr:cNvPr id="3" name="tuesdayoff">
          <a:extLst>
            <a:ext uri="{FF2B5EF4-FFF2-40B4-BE49-F238E27FC236}">
              <a16:creationId xmlns:a16="http://schemas.microsoft.com/office/drawing/2014/main" id="{9B682445-515A-4289-843E-16610BCD7B97}"/>
            </a:ext>
          </a:extLst>
        </xdr:cNvPr>
        <xdr:cNvSpPr/>
      </xdr:nvSpPr>
      <xdr:spPr>
        <a:xfrm>
          <a:off x="33052" y="2208882"/>
          <a:ext cx="1432192" cy="265162"/>
        </a:xfrm>
        <a:prstGeom prst="roundRect">
          <a:avLst/>
        </a:prstGeom>
        <a:solidFill>
          <a:srgbClr val="4040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tIns="45720" rtlCol="0" anchor="t">
          <a:noAutofit/>
        </a:bodyPr>
        <a:lstStyle/>
        <a:p>
          <a:pPr algn="l"/>
          <a:r>
            <a:rPr lang="en-US" sz="1500" b="1">
              <a:latin typeface="Aharoni" panose="020B0604020202020204" pitchFamily="2" charset="-79"/>
              <a:cs typeface="Aharoni" panose="020B0604020202020204" pitchFamily="2" charset="-79"/>
            </a:rPr>
            <a:t>Tuesday</a:t>
          </a:r>
        </a:p>
      </xdr:txBody>
    </xdr:sp>
    <xdr:clientData/>
  </xdr:twoCellAnchor>
  <xdr:twoCellAnchor>
    <xdr:from>
      <xdr:col>0</xdr:col>
      <xdr:colOff>33052</xdr:colOff>
      <xdr:row>14</xdr:row>
      <xdr:rowOff>56921</xdr:rowOff>
    </xdr:from>
    <xdr:to>
      <xdr:col>2</xdr:col>
      <xdr:colOff>253389</xdr:colOff>
      <xdr:row>15</xdr:row>
      <xdr:rowOff>110926</xdr:rowOff>
    </xdr:to>
    <xdr:sp macro="[0]!wenesday" textlink="">
      <xdr:nvSpPr>
        <xdr:cNvPr id="4" name="wenesdayoff" hidden="1">
          <a:extLst>
            <a:ext uri="{FF2B5EF4-FFF2-40B4-BE49-F238E27FC236}">
              <a16:creationId xmlns:a16="http://schemas.microsoft.com/office/drawing/2014/main" id="{025E857C-480C-44F7-82E2-4F6D13290689}"/>
            </a:ext>
          </a:extLst>
        </xdr:cNvPr>
        <xdr:cNvSpPr/>
      </xdr:nvSpPr>
      <xdr:spPr>
        <a:xfrm>
          <a:off x="33052" y="2627523"/>
          <a:ext cx="1432192" cy="265162"/>
        </a:xfrm>
        <a:prstGeom prst="roundRect">
          <a:avLst/>
        </a:prstGeom>
        <a:solidFill>
          <a:srgbClr val="4040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45720" rtlCol="0" anchor="t">
          <a:noAutofit/>
        </a:bodyPr>
        <a:lstStyle/>
        <a:p>
          <a:pPr algn="l"/>
          <a:r>
            <a:rPr lang="en-US" sz="1500" b="1">
              <a:latin typeface="Aharoni" panose="020B0604020202020204" pitchFamily="2" charset="-79"/>
              <a:cs typeface="Aharoni" panose="020B0604020202020204" pitchFamily="2" charset="-79"/>
            </a:rPr>
            <a:t>Wenesday</a:t>
          </a:r>
        </a:p>
      </xdr:txBody>
    </xdr:sp>
    <xdr:clientData/>
  </xdr:twoCellAnchor>
  <xdr:twoCellAnchor>
    <xdr:from>
      <xdr:col>0</xdr:col>
      <xdr:colOff>33052</xdr:colOff>
      <xdr:row>16</xdr:row>
      <xdr:rowOff>60592</xdr:rowOff>
    </xdr:from>
    <xdr:to>
      <xdr:col>2</xdr:col>
      <xdr:colOff>253389</xdr:colOff>
      <xdr:row>17</xdr:row>
      <xdr:rowOff>114598</xdr:rowOff>
    </xdr:to>
    <xdr:sp macro="[0]!thursday" textlink="">
      <xdr:nvSpPr>
        <xdr:cNvPr id="5" name="thursdayoff">
          <a:extLst>
            <a:ext uri="{FF2B5EF4-FFF2-40B4-BE49-F238E27FC236}">
              <a16:creationId xmlns:a16="http://schemas.microsoft.com/office/drawing/2014/main" id="{E868CE63-FE3C-441F-80EF-B4757E82025F}"/>
            </a:ext>
          </a:extLst>
        </xdr:cNvPr>
        <xdr:cNvSpPr/>
      </xdr:nvSpPr>
      <xdr:spPr>
        <a:xfrm>
          <a:off x="33052" y="3053508"/>
          <a:ext cx="1432192" cy="265162"/>
        </a:xfrm>
        <a:prstGeom prst="roundRect">
          <a:avLst/>
        </a:prstGeom>
        <a:solidFill>
          <a:srgbClr val="4040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45720" rtlCol="0" anchor="t">
          <a:noAutofit/>
        </a:bodyPr>
        <a:lstStyle/>
        <a:p>
          <a:pPr algn="l"/>
          <a:r>
            <a:rPr lang="en-US" sz="1500" b="1">
              <a:latin typeface="Aharoni" panose="020B0604020202020204" pitchFamily="2" charset="-79"/>
              <a:cs typeface="Aharoni" panose="020B0604020202020204" pitchFamily="2" charset="-79"/>
            </a:rPr>
            <a:t>Thursday</a:t>
          </a:r>
        </a:p>
      </xdr:txBody>
    </xdr:sp>
    <xdr:clientData/>
  </xdr:twoCellAnchor>
  <xdr:twoCellAnchor>
    <xdr:from>
      <xdr:col>0</xdr:col>
      <xdr:colOff>33052</xdr:colOff>
      <xdr:row>18</xdr:row>
      <xdr:rowOff>38559</xdr:rowOff>
    </xdr:from>
    <xdr:to>
      <xdr:col>2</xdr:col>
      <xdr:colOff>253389</xdr:colOff>
      <xdr:row>19</xdr:row>
      <xdr:rowOff>92564</xdr:rowOff>
    </xdr:to>
    <xdr:sp macro="[0]!friday" textlink="">
      <xdr:nvSpPr>
        <xdr:cNvPr id="6" name="fridayoff">
          <a:extLst>
            <a:ext uri="{FF2B5EF4-FFF2-40B4-BE49-F238E27FC236}">
              <a16:creationId xmlns:a16="http://schemas.microsoft.com/office/drawing/2014/main" id="{47C6062C-BAA4-46E2-B171-12F735E10A7A}"/>
            </a:ext>
          </a:extLst>
        </xdr:cNvPr>
        <xdr:cNvSpPr/>
      </xdr:nvSpPr>
      <xdr:spPr>
        <a:xfrm>
          <a:off x="33052" y="3453788"/>
          <a:ext cx="1432192" cy="265162"/>
        </a:xfrm>
        <a:prstGeom prst="roundRect">
          <a:avLst/>
        </a:prstGeom>
        <a:solidFill>
          <a:srgbClr val="4040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tIns="45720" rtlCol="0" anchor="t">
          <a:noAutofit/>
        </a:bodyPr>
        <a:lstStyle/>
        <a:p>
          <a:pPr algn="l"/>
          <a:r>
            <a:rPr lang="en-US" sz="1500" b="1">
              <a:latin typeface="Aharoni" panose="020B0604020202020204" pitchFamily="2" charset="-79"/>
              <a:cs typeface="Aharoni" panose="020B0604020202020204" pitchFamily="2" charset="-79"/>
            </a:rPr>
            <a:t>Friday</a:t>
          </a:r>
        </a:p>
      </xdr:txBody>
    </xdr:sp>
    <xdr:clientData/>
  </xdr:twoCellAnchor>
  <xdr:twoCellAnchor>
    <xdr:from>
      <xdr:col>0</xdr:col>
      <xdr:colOff>33052</xdr:colOff>
      <xdr:row>20</xdr:row>
      <xdr:rowOff>34887</xdr:rowOff>
    </xdr:from>
    <xdr:to>
      <xdr:col>2</xdr:col>
      <xdr:colOff>253389</xdr:colOff>
      <xdr:row>21</xdr:row>
      <xdr:rowOff>88892</xdr:rowOff>
    </xdr:to>
    <xdr:sp macro="[0]!saturday" textlink="">
      <xdr:nvSpPr>
        <xdr:cNvPr id="7" name="saturdayoff">
          <a:extLst>
            <a:ext uri="{FF2B5EF4-FFF2-40B4-BE49-F238E27FC236}">
              <a16:creationId xmlns:a16="http://schemas.microsoft.com/office/drawing/2014/main" id="{B60166E5-F0D8-4980-A475-4851936326BF}"/>
            </a:ext>
          </a:extLst>
        </xdr:cNvPr>
        <xdr:cNvSpPr/>
      </xdr:nvSpPr>
      <xdr:spPr>
        <a:xfrm>
          <a:off x="33052" y="3872429"/>
          <a:ext cx="1432192" cy="265162"/>
        </a:xfrm>
        <a:prstGeom prst="roundRect">
          <a:avLst/>
        </a:prstGeom>
        <a:solidFill>
          <a:srgbClr val="4040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45720" rtlCol="0" anchor="t">
          <a:noAutofit/>
        </a:bodyPr>
        <a:lstStyle/>
        <a:p>
          <a:pPr algn="l"/>
          <a:r>
            <a:rPr lang="en-US" sz="1500" b="1">
              <a:latin typeface="Aharoni" panose="020B0604020202020204" pitchFamily="2" charset="-79"/>
              <a:cs typeface="Aharoni" panose="020B0604020202020204" pitchFamily="2" charset="-79"/>
            </a:rPr>
            <a:t>Saturday</a:t>
          </a:r>
        </a:p>
      </xdr:txBody>
    </xdr:sp>
    <xdr:clientData/>
  </xdr:twoCellAnchor>
  <xdr:twoCellAnchor>
    <xdr:from>
      <xdr:col>0</xdr:col>
      <xdr:colOff>33052</xdr:colOff>
      <xdr:row>22</xdr:row>
      <xdr:rowOff>12854</xdr:rowOff>
    </xdr:from>
    <xdr:to>
      <xdr:col>2</xdr:col>
      <xdr:colOff>253389</xdr:colOff>
      <xdr:row>23</xdr:row>
      <xdr:rowOff>66859</xdr:rowOff>
    </xdr:to>
    <xdr:sp macro="[0]!sunday" textlink="">
      <xdr:nvSpPr>
        <xdr:cNvPr id="8" name="sundayoff">
          <a:extLst>
            <a:ext uri="{FF2B5EF4-FFF2-40B4-BE49-F238E27FC236}">
              <a16:creationId xmlns:a16="http://schemas.microsoft.com/office/drawing/2014/main" id="{AD5089FE-4433-4F54-B0D0-07A24436B7BF}"/>
            </a:ext>
          </a:extLst>
        </xdr:cNvPr>
        <xdr:cNvSpPr/>
      </xdr:nvSpPr>
      <xdr:spPr>
        <a:xfrm>
          <a:off x="33052" y="4272709"/>
          <a:ext cx="1432192" cy="265162"/>
        </a:xfrm>
        <a:prstGeom prst="roundRect">
          <a:avLst/>
        </a:prstGeom>
        <a:solidFill>
          <a:srgbClr val="4040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tIns="45720" rtlCol="0" anchor="t">
          <a:noAutofit/>
        </a:bodyPr>
        <a:lstStyle/>
        <a:p>
          <a:pPr algn="l"/>
          <a:r>
            <a:rPr lang="en-US" sz="1500" b="1">
              <a:latin typeface="Aharoni" panose="020B0604020202020204" pitchFamily="2" charset="-79"/>
              <a:cs typeface="Aharoni" panose="020B0604020202020204" pitchFamily="2" charset="-79"/>
            </a:rPr>
            <a:t>Sunday</a:t>
          </a:r>
        </a:p>
      </xdr:txBody>
    </xdr:sp>
    <xdr:clientData/>
  </xdr:twoCellAnchor>
  <xdr:twoCellAnchor>
    <xdr:from>
      <xdr:col>0</xdr:col>
      <xdr:colOff>33052</xdr:colOff>
      <xdr:row>9</xdr:row>
      <xdr:rowOff>119350</xdr:rowOff>
    </xdr:from>
    <xdr:to>
      <xdr:col>2</xdr:col>
      <xdr:colOff>253389</xdr:colOff>
      <xdr:row>23</xdr:row>
      <xdr:rowOff>66859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1DD30F22-4889-48EB-A25B-01195D840BE5}"/>
            </a:ext>
          </a:extLst>
        </xdr:cNvPr>
        <xdr:cNvGrpSpPr/>
      </xdr:nvGrpSpPr>
      <xdr:grpSpPr>
        <a:xfrm>
          <a:off x="33052" y="1771880"/>
          <a:ext cx="1432192" cy="2765991"/>
          <a:chOff x="1584594" y="1771880"/>
          <a:chExt cx="1432192" cy="2765991"/>
        </a:xfrm>
      </xdr:grpSpPr>
      <xdr:sp macro="[0]!monday" textlink="">
        <xdr:nvSpPr>
          <xdr:cNvPr id="11" name="mondayon" hidden="1">
            <a:extLst>
              <a:ext uri="{FF2B5EF4-FFF2-40B4-BE49-F238E27FC236}">
                <a16:creationId xmlns:a16="http://schemas.microsoft.com/office/drawing/2014/main" id="{1A0A1B6C-1AAA-46C2-8B33-02F5BFC9AB73}"/>
              </a:ext>
            </a:extLst>
          </xdr:cNvPr>
          <xdr:cNvSpPr/>
        </xdr:nvSpPr>
        <xdr:spPr>
          <a:xfrm>
            <a:off x="1584594" y="1771880"/>
            <a:ext cx="1432192" cy="265162"/>
          </a:xfrm>
          <a:prstGeom prst="roundRect">
            <a:avLst/>
          </a:prstGeom>
          <a:solidFill>
            <a:schemeClr val="bg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5760" tIns="45720" rtlCol="0" anchor="t">
            <a:noAutofit/>
          </a:bodyPr>
          <a:lstStyle/>
          <a:p>
            <a:pPr algn="l"/>
            <a:r>
              <a:rPr lang="en-US" sz="1500" b="1">
                <a:solidFill>
                  <a:schemeClr val="tx1"/>
                </a:solidFill>
                <a:latin typeface="Aharoni" panose="020B0604020202020204" pitchFamily="2" charset="-79"/>
                <a:cs typeface="Aharoni" panose="020B0604020202020204" pitchFamily="2" charset="-79"/>
              </a:rPr>
              <a:t>Monday</a:t>
            </a:r>
          </a:p>
        </xdr:txBody>
      </xdr:sp>
      <xdr:sp macro="[0]!tuesday" textlink="">
        <xdr:nvSpPr>
          <xdr:cNvPr id="12" name="tuesdayon" hidden="1">
            <a:extLst>
              <a:ext uri="{FF2B5EF4-FFF2-40B4-BE49-F238E27FC236}">
                <a16:creationId xmlns:a16="http://schemas.microsoft.com/office/drawing/2014/main" id="{96FED27B-619E-4EDF-B289-5483A80822A3}"/>
              </a:ext>
            </a:extLst>
          </xdr:cNvPr>
          <xdr:cNvSpPr/>
        </xdr:nvSpPr>
        <xdr:spPr>
          <a:xfrm>
            <a:off x="1584594" y="2208882"/>
            <a:ext cx="1432192" cy="265162"/>
          </a:xfrm>
          <a:prstGeom prst="roundRect">
            <a:avLst/>
          </a:prstGeom>
          <a:solidFill>
            <a:schemeClr val="bg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5760" tIns="45720" rtlCol="0" anchor="t">
            <a:noAutofit/>
          </a:bodyPr>
          <a:lstStyle/>
          <a:p>
            <a:pPr algn="l"/>
            <a:r>
              <a:rPr lang="en-US" sz="1500" b="1">
                <a:solidFill>
                  <a:schemeClr val="tx1"/>
                </a:solidFill>
                <a:latin typeface="Aharoni" panose="020B0604020202020204" pitchFamily="2" charset="-79"/>
                <a:cs typeface="Aharoni" panose="020B0604020202020204" pitchFamily="2" charset="-79"/>
              </a:rPr>
              <a:t>Tuesday</a:t>
            </a:r>
          </a:p>
        </xdr:txBody>
      </xdr:sp>
      <xdr:sp macro="[0]!wenesday" textlink="">
        <xdr:nvSpPr>
          <xdr:cNvPr id="13" name="wenesdayon">
            <a:extLst>
              <a:ext uri="{FF2B5EF4-FFF2-40B4-BE49-F238E27FC236}">
                <a16:creationId xmlns:a16="http://schemas.microsoft.com/office/drawing/2014/main" id="{7DC858EC-D53A-4170-9C22-830D0368BA8B}"/>
              </a:ext>
            </a:extLst>
          </xdr:cNvPr>
          <xdr:cNvSpPr/>
        </xdr:nvSpPr>
        <xdr:spPr>
          <a:xfrm>
            <a:off x="1584594" y="2627523"/>
            <a:ext cx="1432192" cy="265162"/>
          </a:xfrm>
          <a:prstGeom prst="roundRect">
            <a:avLst/>
          </a:prstGeom>
          <a:solidFill>
            <a:schemeClr val="bg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28600" tIns="45720" rtlCol="0" anchor="t">
            <a:noAutofit/>
          </a:bodyPr>
          <a:lstStyle/>
          <a:p>
            <a:pPr algn="l"/>
            <a:r>
              <a:rPr lang="en-US" sz="1500" b="1">
                <a:solidFill>
                  <a:schemeClr val="tx1"/>
                </a:solidFill>
                <a:latin typeface="Aharoni" panose="020B0604020202020204" pitchFamily="2" charset="-79"/>
                <a:cs typeface="Aharoni" panose="020B0604020202020204" pitchFamily="2" charset="-79"/>
              </a:rPr>
              <a:t>Wenesday</a:t>
            </a:r>
          </a:p>
        </xdr:txBody>
      </xdr:sp>
      <xdr:sp macro="[0]!thursday" textlink="">
        <xdr:nvSpPr>
          <xdr:cNvPr id="14" name="thursdayon" hidden="1">
            <a:extLst>
              <a:ext uri="{FF2B5EF4-FFF2-40B4-BE49-F238E27FC236}">
                <a16:creationId xmlns:a16="http://schemas.microsoft.com/office/drawing/2014/main" id="{95A3ED88-F9CE-4B5D-9311-770688B4BD5A}"/>
              </a:ext>
            </a:extLst>
          </xdr:cNvPr>
          <xdr:cNvSpPr/>
        </xdr:nvSpPr>
        <xdr:spPr>
          <a:xfrm>
            <a:off x="1584594" y="3053508"/>
            <a:ext cx="1432192" cy="265162"/>
          </a:xfrm>
          <a:prstGeom prst="roundRect">
            <a:avLst/>
          </a:prstGeom>
          <a:solidFill>
            <a:schemeClr val="bg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45720" rtlCol="0" anchor="t">
            <a:noAutofit/>
          </a:bodyPr>
          <a:lstStyle/>
          <a:p>
            <a:pPr algn="l"/>
            <a:r>
              <a:rPr lang="en-US" sz="1500" b="1">
                <a:solidFill>
                  <a:schemeClr val="tx1"/>
                </a:solidFill>
                <a:latin typeface="Aharoni" panose="020B0604020202020204" pitchFamily="2" charset="-79"/>
                <a:cs typeface="Aharoni" panose="020B0604020202020204" pitchFamily="2" charset="-79"/>
              </a:rPr>
              <a:t>Thursday</a:t>
            </a:r>
          </a:p>
        </xdr:txBody>
      </xdr:sp>
      <xdr:sp macro="[0]!friday" textlink="">
        <xdr:nvSpPr>
          <xdr:cNvPr id="15" name="fridayon" hidden="1">
            <a:extLst>
              <a:ext uri="{FF2B5EF4-FFF2-40B4-BE49-F238E27FC236}">
                <a16:creationId xmlns:a16="http://schemas.microsoft.com/office/drawing/2014/main" id="{BA29E2B8-6047-4849-8C3F-D22F791D2229}"/>
              </a:ext>
            </a:extLst>
          </xdr:cNvPr>
          <xdr:cNvSpPr/>
        </xdr:nvSpPr>
        <xdr:spPr>
          <a:xfrm>
            <a:off x="1584594" y="3453788"/>
            <a:ext cx="1432192" cy="265162"/>
          </a:xfrm>
          <a:prstGeom prst="roundRect">
            <a:avLst/>
          </a:prstGeom>
          <a:solidFill>
            <a:schemeClr val="bg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5760" tIns="45720" rtlCol="0" anchor="t">
            <a:noAutofit/>
          </a:bodyPr>
          <a:lstStyle/>
          <a:p>
            <a:pPr algn="l"/>
            <a:r>
              <a:rPr lang="en-US" sz="1500" b="1">
                <a:solidFill>
                  <a:schemeClr val="tx1"/>
                </a:solidFill>
                <a:latin typeface="Aharoni" panose="020B0604020202020204" pitchFamily="2" charset="-79"/>
                <a:cs typeface="Aharoni" panose="020B0604020202020204" pitchFamily="2" charset="-79"/>
              </a:rPr>
              <a:t>Friday</a:t>
            </a:r>
          </a:p>
        </xdr:txBody>
      </xdr:sp>
      <xdr:sp macro="[0]!saturday" textlink="">
        <xdr:nvSpPr>
          <xdr:cNvPr id="16" name="saturdayon" hidden="1">
            <a:extLst>
              <a:ext uri="{FF2B5EF4-FFF2-40B4-BE49-F238E27FC236}">
                <a16:creationId xmlns:a16="http://schemas.microsoft.com/office/drawing/2014/main" id="{9AAD4473-2F5C-4CED-A7A7-8944477CCEDE}"/>
              </a:ext>
            </a:extLst>
          </xdr:cNvPr>
          <xdr:cNvSpPr/>
        </xdr:nvSpPr>
        <xdr:spPr>
          <a:xfrm>
            <a:off x="1584594" y="3872429"/>
            <a:ext cx="1432192" cy="265162"/>
          </a:xfrm>
          <a:prstGeom prst="roundRect">
            <a:avLst/>
          </a:prstGeom>
          <a:solidFill>
            <a:schemeClr val="bg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45720" rtlCol="0" anchor="t">
            <a:noAutofit/>
          </a:bodyPr>
          <a:lstStyle/>
          <a:p>
            <a:pPr algn="l"/>
            <a:r>
              <a:rPr lang="en-US" sz="1500" b="1">
                <a:solidFill>
                  <a:schemeClr val="tx1"/>
                </a:solidFill>
                <a:latin typeface="Aharoni" panose="020B0604020202020204" pitchFamily="2" charset="-79"/>
                <a:cs typeface="Aharoni" panose="020B0604020202020204" pitchFamily="2" charset="-79"/>
              </a:rPr>
              <a:t>Saturday</a:t>
            </a:r>
          </a:p>
        </xdr:txBody>
      </xdr:sp>
      <xdr:sp macro="[0]!sunday" textlink="">
        <xdr:nvSpPr>
          <xdr:cNvPr id="17" name="sundayon" hidden="1">
            <a:extLst>
              <a:ext uri="{FF2B5EF4-FFF2-40B4-BE49-F238E27FC236}">
                <a16:creationId xmlns:a16="http://schemas.microsoft.com/office/drawing/2014/main" id="{9005743F-3406-4087-8F47-980E9F588977}"/>
              </a:ext>
            </a:extLst>
          </xdr:cNvPr>
          <xdr:cNvSpPr/>
        </xdr:nvSpPr>
        <xdr:spPr>
          <a:xfrm>
            <a:off x="1584594" y="4272709"/>
            <a:ext cx="1432192" cy="265162"/>
          </a:xfrm>
          <a:prstGeom prst="roundRect">
            <a:avLst/>
          </a:prstGeom>
          <a:solidFill>
            <a:schemeClr val="bg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5760" tIns="45720" rtlCol="0" anchor="t">
            <a:noAutofit/>
          </a:bodyPr>
          <a:lstStyle/>
          <a:p>
            <a:pPr algn="l"/>
            <a:r>
              <a:rPr lang="en-US" sz="1500" b="1">
                <a:solidFill>
                  <a:schemeClr val="tx1"/>
                </a:solidFill>
                <a:latin typeface="Aharoni" panose="020B0604020202020204" pitchFamily="2" charset="-79"/>
                <a:cs typeface="Aharoni" panose="020B0604020202020204" pitchFamily="2" charset="-79"/>
              </a:rPr>
              <a:t>Sunday</a:t>
            </a:r>
          </a:p>
        </xdr:txBody>
      </xdr:sp>
    </xdr:grpSp>
    <xdr:clientData/>
  </xdr:twoCellAnchor>
  <xdr:twoCellAnchor>
    <xdr:from>
      <xdr:col>11</xdr:col>
      <xdr:colOff>156071</xdr:colOff>
      <xdr:row>23</xdr:row>
      <xdr:rowOff>128532</xdr:rowOff>
    </xdr:from>
    <xdr:to>
      <xdr:col>16</xdr:col>
      <xdr:colOff>166813</xdr:colOff>
      <xdr:row>33</xdr:row>
      <xdr:rowOff>80425</xdr:rowOff>
    </xdr:to>
    <xdr:graphicFrame macro="">
      <xdr:nvGraphicFramePr>
        <xdr:cNvPr id="20" name="cmonday" hidden="1">
          <a:extLst>
            <a:ext uri="{FF2B5EF4-FFF2-40B4-BE49-F238E27FC236}">
              <a16:creationId xmlns:a16="http://schemas.microsoft.com/office/drawing/2014/main" id="{2893BEA4-FA04-4923-AEF2-E36614D4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156071</xdr:colOff>
      <xdr:row>23</xdr:row>
      <xdr:rowOff>128532</xdr:rowOff>
    </xdr:from>
    <xdr:to>
      <xdr:col>16</xdr:col>
      <xdr:colOff>182053</xdr:colOff>
      <xdr:row>33</xdr:row>
      <xdr:rowOff>99475</xdr:rowOff>
    </xdr:to>
    <xdr:graphicFrame macro="">
      <xdr:nvGraphicFramePr>
        <xdr:cNvPr id="21" name="ctuesday" hidden="1">
          <a:extLst>
            <a:ext uri="{FF2B5EF4-FFF2-40B4-BE49-F238E27FC236}">
              <a16:creationId xmlns:a16="http://schemas.microsoft.com/office/drawing/2014/main" id="{A402A6FA-8779-4841-8A65-39157DD2B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156071</xdr:colOff>
      <xdr:row>23</xdr:row>
      <xdr:rowOff>128532</xdr:rowOff>
    </xdr:from>
    <xdr:to>
      <xdr:col>16</xdr:col>
      <xdr:colOff>189673</xdr:colOff>
      <xdr:row>33</xdr:row>
      <xdr:rowOff>99475</xdr:rowOff>
    </xdr:to>
    <xdr:graphicFrame macro="">
      <xdr:nvGraphicFramePr>
        <xdr:cNvPr id="22" name="cwenesday">
          <a:extLst>
            <a:ext uri="{FF2B5EF4-FFF2-40B4-BE49-F238E27FC236}">
              <a16:creationId xmlns:a16="http://schemas.microsoft.com/office/drawing/2014/main" id="{E0D572D4-A88C-4A6D-8DD4-BE4276762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156071</xdr:colOff>
      <xdr:row>23</xdr:row>
      <xdr:rowOff>128532</xdr:rowOff>
    </xdr:from>
    <xdr:to>
      <xdr:col>16</xdr:col>
      <xdr:colOff>174433</xdr:colOff>
      <xdr:row>33</xdr:row>
      <xdr:rowOff>91855</xdr:rowOff>
    </xdr:to>
    <xdr:graphicFrame macro="">
      <xdr:nvGraphicFramePr>
        <xdr:cNvPr id="28" name="cthursday" hidden="1">
          <a:extLst>
            <a:ext uri="{FF2B5EF4-FFF2-40B4-BE49-F238E27FC236}">
              <a16:creationId xmlns:a16="http://schemas.microsoft.com/office/drawing/2014/main" id="{EAC5A1C5-33ED-4337-9366-711E0C54B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156071</xdr:colOff>
      <xdr:row>23</xdr:row>
      <xdr:rowOff>128532</xdr:rowOff>
    </xdr:from>
    <xdr:to>
      <xdr:col>16</xdr:col>
      <xdr:colOff>159193</xdr:colOff>
      <xdr:row>33</xdr:row>
      <xdr:rowOff>91855</xdr:rowOff>
    </xdr:to>
    <xdr:graphicFrame macro="">
      <xdr:nvGraphicFramePr>
        <xdr:cNvPr id="30" name="cfriday" hidden="1">
          <a:extLst>
            <a:ext uri="{FF2B5EF4-FFF2-40B4-BE49-F238E27FC236}">
              <a16:creationId xmlns:a16="http://schemas.microsoft.com/office/drawing/2014/main" id="{664BBD64-CFA2-4D74-BF77-055715F5B0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156071</xdr:colOff>
      <xdr:row>23</xdr:row>
      <xdr:rowOff>128532</xdr:rowOff>
    </xdr:from>
    <xdr:to>
      <xdr:col>16</xdr:col>
      <xdr:colOff>182053</xdr:colOff>
      <xdr:row>33</xdr:row>
      <xdr:rowOff>99475</xdr:rowOff>
    </xdr:to>
    <xdr:graphicFrame macro="">
      <xdr:nvGraphicFramePr>
        <xdr:cNvPr id="31" name="csaturday" hidden="1">
          <a:extLst>
            <a:ext uri="{FF2B5EF4-FFF2-40B4-BE49-F238E27FC236}">
              <a16:creationId xmlns:a16="http://schemas.microsoft.com/office/drawing/2014/main" id="{CFC9ACE6-046E-4DE5-99AD-A23F38A1A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156071</xdr:colOff>
      <xdr:row>23</xdr:row>
      <xdr:rowOff>128532</xdr:rowOff>
    </xdr:from>
    <xdr:to>
      <xdr:col>16</xdr:col>
      <xdr:colOff>174433</xdr:colOff>
      <xdr:row>33</xdr:row>
      <xdr:rowOff>114715</xdr:rowOff>
    </xdr:to>
    <xdr:graphicFrame macro="">
      <xdr:nvGraphicFramePr>
        <xdr:cNvPr id="32" name="csunday" hidden="1">
          <a:extLst>
            <a:ext uri="{FF2B5EF4-FFF2-40B4-BE49-F238E27FC236}">
              <a16:creationId xmlns:a16="http://schemas.microsoft.com/office/drawing/2014/main" id="{C7AE3847-C931-4072-8D80-AF07D7116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541663</xdr:colOff>
      <xdr:row>25</xdr:row>
      <xdr:rowOff>174434</xdr:rowOff>
    </xdr:from>
    <xdr:to>
      <xdr:col>14</xdr:col>
      <xdr:colOff>477398</xdr:colOff>
      <xdr:row>29</xdr:row>
      <xdr:rowOff>174434</xdr:rowOff>
    </xdr:to>
    <xdr:sp macro="" textlink="Sheet2!P18">
      <xdr:nvSpPr>
        <xdr:cNvPr id="35" name="TextBox 34">
          <a:extLst>
            <a:ext uri="{FF2B5EF4-FFF2-40B4-BE49-F238E27FC236}">
              <a16:creationId xmlns:a16="http://schemas.microsoft.com/office/drawing/2014/main" id="{90EA26D3-F95E-4F20-9659-7B3B6F3B4172}"/>
            </a:ext>
          </a:extLst>
        </xdr:cNvPr>
        <xdr:cNvSpPr txBox="1"/>
      </xdr:nvSpPr>
      <xdr:spPr>
        <a:xfrm>
          <a:off x="7849518" y="5067759"/>
          <a:ext cx="1147591" cy="844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C73E15-CAFF-415E-8D2A-1DC8F6A077FE}" type="TxLink">
            <a:rPr lang="en-US" sz="2800" b="1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40%</a:t>
          </a:fld>
          <a:endParaRPr lang="en-US" sz="28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486578</xdr:colOff>
      <xdr:row>35</xdr:row>
      <xdr:rowOff>128531</xdr:rowOff>
    </xdr:from>
    <xdr:to>
      <xdr:col>21</xdr:col>
      <xdr:colOff>330506</xdr:colOff>
      <xdr:row>44</xdr:row>
      <xdr:rowOff>156211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8F07DD4D-6D81-40D3-9E0B-351107832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257063</xdr:colOff>
      <xdr:row>9</xdr:row>
      <xdr:rowOff>9183</xdr:rowOff>
    </xdr:from>
    <xdr:to>
      <xdr:col>17</xdr:col>
      <xdr:colOff>532483</xdr:colOff>
      <xdr:row>10</xdr:row>
      <xdr:rowOff>165254</xdr:rowOff>
    </xdr:to>
    <xdr:sp macro="[0]!done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308CF9C8-6E6E-42A5-8F01-D831EEEF56C1}"/>
            </a:ext>
          </a:extLst>
        </xdr:cNvPr>
        <xdr:cNvSpPr/>
      </xdr:nvSpPr>
      <xdr:spPr>
        <a:xfrm>
          <a:off x="9988629" y="1661713"/>
          <a:ext cx="936432" cy="339686"/>
        </a:xfrm>
        <a:prstGeom prst="roundRect">
          <a:avLst/>
        </a:prstGeom>
        <a:solidFill>
          <a:schemeClr val="bg1">
            <a:alpha val="2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 Black" panose="020B0A04020102020204" pitchFamily="34" charset="0"/>
            </a:rPr>
            <a:t>Done</a:t>
          </a:r>
        </a:p>
      </xdr:txBody>
    </xdr:sp>
    <xdr:clientData/>
  </xdr:twoCellAnchor>
  <xdr:twoCellAnchor>
    <xdr:from>
      <xdr:col>24</xdr:col>
      <xdr:colOff>363559</xdr:colOff>
      <xdr:row>8</xdr:row>
      <xdr:rowOff>143223</xdr:rowOff>
    </xdr:from>
    <xdr:to>
      <xdr:col>26</xdr:col>
      <xdr:colOff>266241</xdr:colOff>
      <xdr:row>10</xdr:row>
      <xdr:rowOff>73447</xdr:rowOff>
    </xdr:to>
    <xdr:sp macro="[0]!side_quest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B1DFB45D-BBC0-4318-B6AF-C6F5AC6705B1}"/>
            </a:ext>
          </a:extLst>
        </xdr:cNvPr>
        <xdr:cNvSpPr/>
      </xdr:nvSpPr>
      <xdr:spPr>
        <a:xfrm>
          <a:off x="14878282" y="1612139"/>
          <a:ext cx="1114537" cy="297453"/>
        </a:xfrm>
        <a:prstGeom prst="roundRect">
          <a:avLst/>
        </a:prstGeom>
        <a:solidFill>
          <a:schemeClr val="bg1">
            <a:alpha val="2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 Black" panose="020B0A04020102020204" pitchFamily="34" charset="0"/>
            </a:rPr>
            <a:t>Side quest</a:t>
          </a:r>
        </a:p>
      </xdr:txBody>
    </xdr:sp>
    <xdr:clientData/>
  </xdr:twoCellAnchor>
  <xdr:twoCellAnchor editAs="oneCell">
    <xdr:from>
      <xdr:col>11</xdr:col>
      <xdr:colOff>385590</xdr:colOff>
      <xdr:row>9</xdr:row>
      <xdr:rowOff>174433</xdr:rowOff>
    </xdr:from>
    <xdr:to>
      <xdr:col>15</xdr:col>
      <xdr:colOff>591565</xdr:colOff>
      <xdr:row>20</xdr:row>
      <xdr:rowOff>156073</xdr:rowOff>
    </xdr:to>
    <xdr:pic macro="[0]!todo_list">
      <xdr:nvPicPr>
        <xdr:cNvPr id="43" name="Graphic 42">
          <a:extLst>
            <a:ext uri="{FF2B5EF4-FFF2-40B4-BE49-F238E27FC236}">
              <a16:creationId xmlns:a16="http://schemas.microsoft.com/office/drawing/2014/main" id="{7568AA61-F227-4FFB-95ED-E995A5162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087518" y="1826963"/>
          <a:ext cx="2629686" cy="2166652"/>
        </a:xfrm>
        <a:prstGeom prst="rect">
          <a:avLst/>
        </a:prstGeom>
      </xdr:spPr>
    </xdr:pic>
    <xdr:clientData/>
  </xdr:twoCellAnchor>
  <xdr:twoCellAnchor>
    <xdr:from>
      <xdr:col>23</xdr:col>
      <xdr:colOff>166997</xdr:colOff>
      <xdr:row>32</xdr:row>
      <xdr:rowOff>128532</xdr:rowOff>
    </xdr:from>
    <xdr:to>
      <xdr:col>27</xdr:col>
      <xdr:colOff>247880</xdr:colOff>
      <xdr:row>41</xdr:row>
      <xdr:rowOff>73445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DBFBAE04-E26D-4FD5-AFE8-0F53EC8EEBC4}"/>
            </a:ext>
          </a:extLst>
        </xdr:cNvPr>
        <xdr:cNvGrpSpPr/>
      </xdr:nvGrpSpPr>
      <xdr:grpSpPr>
        <a:xfrm>
          <a:off x="14397117" y="6499954"/>
          <a:ext cx="2348522" cy="1634166"/>
          <a:chOff x="14562369" y="6674387"/>
          <a:chExt cx="2348522" cy="1634166"/>
        </a:xfrm>
      </xdr:grpSpPr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BF0B56DF-8939-4AB0-8B7A-0E8DC0556B43}"/>
              </a:ext>
            </a:extLst>
          </xdr:cNvPr>
          <xdr:cNvSpPr txBox="1"/>
        </xdr:nvSpPr>
        <xdr:spPr>
          <a:xfrm>
            <a:off x="14568431" y="6674387"/>
            <a:ext cx="2296559" cy="1147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Berlin Sans FB Demi" panose="020E0802020502020306" pitchFamily="34" charset="0"/>
              </a:rPr>
              <a:t>You all know exactly who</a:t>
            </a:r>
            <a:r>
              <a:rPr lang="en-US" sz="1800" baseline="0">
                <a:solidFill>
                  <a:schemeClr val="bg1"/>
                </a:solidFill>
                <a:latin typeface="Berlin Sans FB Demi" panose="020E0802020502020306" pitchFamily="34" charset="0"/>
              </a:rPr>
              <a:t> I am </a:t>
            </a:r>
          </a:p>
          <a:p>
            <a:pPr algn="ctr"/>
            <a:r>
              <a:rPr lang="en-US" sz="1800" baseline="0">
                <a:solidFill>
                  <a:schemeClr val="bg1"/>
                </a:solidFill>
                <a:latin typeface="Berlin Sans FB Demi" panose="020E0802020502020306" pitchFamily="34" charset="0"/>
              </a:rPr>
              <a:t>...</a:t>
            </a:r>
          </a:p>
        </xdr:txBody>
      </xdr:sp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1E16792C-ADEE-48E2-AE12-DBA2FC7D5CBC}"/>
              </a:ext>
            </a:extLst>
          </xdr:cNvPr>
          <xdr:cNvSpPr txBox="1"/>
        </xdr:nvSpPr>
        <xdr:spPr>
          <a:xfrm>
            <a:off x="14562369" y="7858698"/>
            <a:ext cx="2348522" cy="44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Amasis MT Pro Black" panose="02040A04050005020304" pitchFamily="18" charset="0"/>
              </a:rPr>
              <a:t>Say</a:t>
            </a:r>
            <a:r>
              <a:rPr lang="en-US" sz="2400" baseline="0">
                <a:solidFill>
                  <a:schemeClr val="bg1"/>
                </a:solidFill>
                <a:latin typeface="Amasis MT Pro Black" panose="02040A04050005020304" pitchFamily="18" charset="0"/>
              </a:rPr>
              <a:t> my name</a:t>
            </a:r>
            <a:endParaRPr lang="en-US" sz="2400">
              <a:solidFill>
                <a:schemeClr val="bg1"/>
              </a:solidFill>
              <a:latin typeface="Amasis MT Pro Black" panose="02040A04050005020304" pitchFamily="18" charset="0"/>
            </a:endParaRPr>
          </a:p>
        </xdr:txBody>
      </xdr:sp>
    </xdr:grpSp>
    <xdr:clientData/>
  </xdr:twoCellAnchor>
  <xdr:twoCellAnchor>
    <xdr:from>
      <xdr:col>26</xdr:col>
      <xdr:colOff>427822</xdr:colOff>
      <xdr:row>43</xdr:row>
      <xdr:rowOff>91807</xdr:rowOff>
    </xdr:from>
    <xdr:to>
      <xdr:col>26</xdr:col>
      <xdr:colOff>703243</xdr:colOff>
      <xdr:row>45</xdr:row>
      <xdr:rowOff>-1</xdr:rowOff>
    </xdr:to>
    <xdr:sp macro="[0]!witcher_theme" textlink="">
      <xdr:nvSpPr>
        <xdr:cNvPr id="9" name="witcheron" hidden="1">
          <a:extLst>
            <a:ext uri="{FF2B5EF4-FFF2-40B4-BE49-F238E27FC236}">
              <a16:creationId xmlns:a16="http://schemas.microsoft.com/office/drawing/2014/main" id="{1F8C40F1-1239-47F4-B8B4-3203278AC390}"/>
            </a:ext>
          </a:extLst>
        </xdr:cNvPr>
        <xdr:cNvSpPr/>
      </xdr:nvSpPr>
      <xdr:spPr>
        <a:xfrm>
          <a:off x="16209485" y="8519711"/>
          <a:ext cx="275421" cy="275421"/>
        </a:xfrm>
        <a:prstGeom prst="ellipse">
          <a:avLst/>
        </a:prstGeom>
        <a:gradFill flip="none" rotWithShape="1">
          <a:gsLst>
            <a:gs pos="0">
              <a:srgbClr val="7030A0"/>
            </a:gs>
            <a:gs pos="38000">
              <a:srgbClr val="8E488A"/>
            </a:gs>
            <a:gs pos="100000">
              <a:srgbClr val="EC9146"/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427822</xdr:colOff>
      <xdr:row>43</xdr:row>
      <xdr:rowOff>91807</xdr:rowOff>
    </xdr:from>
    <xdr:to>
      <xdr:col>26</xdr:col>
      <xdr:colOff>703243</xdr:colOff>
      <xdr:row>45</xdr:row>
      <xdr:rowOff>-1</xdr:rowOff>
    </xdr:to>
    <xdr:sp macro="[0]!witcher_theme" textlink="">
      <xdr:nvSpPr>
        <xdr:cNvPr id="36" name="witcheroff">
          <a:extLst>
            <a:ext uri="{FF2B5EF4-FFF2-40B4-BE49-F238E27FC236}">
              <a16:creationId xmlns:a16="http://schemas.microsoft.com/office/drawing/2014/main" id="{CD674CA7-F005-4821-B3DB-D5E9CECB8905}"/>
            </a:ext>
          </a:extLst>
        </xdr:cNvPr>
        <xdr:cNvSpPr/>
      </xdr:nvSpPr>
      <xdr:spPr>
        <a:xfrm>
          <a:off x="16209485" y="8519711"/>
          <a:ext cx="275421" cy="275421"/>
        </a:xfrm>
        <a:prstGeom prst="ellipse">
          <a:avLst/>
        </a:prstGeom>
        <a:gradFill flip="none" rotWithShape="1">
          <a:gsLst>
            <a:gs pos="0">
              <a:srgbClr val="7030A0">
                <a:alpha val="70000"/>
              </a:srgbClr>
            </a:gs>
            <a:gs pos="38000">
              <a:srgbClr val="8E488A">
                <a:alpha val="70000"/>
              </a:srgbClr>
            </a:gs>
            <a:gs pos="100000">
              <a:srgbClr val="EC9146">
                <a:alpha val="7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244208</xdr:colOff>
      <xdr:row>43</xdr:row>
      <xdr:rowOff>91807</xdr:rowOff>
    </xdr:from>
    <xdr:to>
      <xdr:col>28</xdr:col>
      <xdr:colOff>179942</xdr:colOff>
      <xdr:row>45</xdr:row>
      <xdr:rowOff>-1</xdr:rowOff>
    </xdr:to>
    <xdr:sp macro="[0]!dark_theme" textlink="">
      <xdr:nvSpPr>
        <xdr:cNvPr id="37" name="darkon">
          <a:extLst>
            <a:ext uri="{FF2B5EF4-FFF2-40B4-BE49-F238E27FC236}">
              <a16:creationId xmlns:a16="http://schemas.microsoft.com/office/drawing/2014/main" id="{7FEF66C3-B581-453C-A90B-48D35708C705}"/>
            </a:ext>
          </a:extLst>
        </xdr:cNvPr>
        <xdr:cNvSpPr/>
      </xdr:nvSpPr>
      <xdr:spPr>
        <a:xfrm>
          <a:off x="16741967" y="8519711"/>
          <a:ext cx="275421" cy="275421"/>
        </a:xfrm>
        <a:prstGeom prst="ellipse">
          <a:avLst/>
        </a:prstGeom>
        <a:gradFill>
          <a:gsLst>
            <a:gs pos="0">
              <a:schemeClr val="bg1">
                <a:lumMod val="85000"/>
              </a:schemeClr>
            </a:gs>
            <a:gs pos="65000">
              <a:srgbClr val="5F5F5F"/>
            </a:gs>
            <a:gs pos="100000">
              <a:schemeClr val="tx1">
                <a:lumMod val="75000"/>
                <a:lumOff val="25000"/>
              </a:schemeClr>
            </a:gs>
          </a:gsLst>
          <a:lin ang="135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244208</xdr:colOff>
      <xdr:row>43</xdr:row>
      <xdr:rowOff>91807</xdr:rowOff>
    </xdr:from>
    <xdr:to>
      <xdr:col>28</xdr:col>
      <xdr:colOff>179942</xdr:colOff>
      <xdr:row>45</xdr:row>
      <xdr:rowOff>-1</xdr:rowOff>
    </xdr:to>
    <xdr:sp macro="[0]!dark_theme" textlink="">
      <xdr:nvSpPr>
        <xdr:cNvPr id="38" name="darkoff" hidden="1">
          <a:extLst>
            <a:ext uri="{FF2B5EF4-FFF2-40B4-BE49-F238E27FC236}">
              <a16:creationId xmlns:a16="http://schemas.microsoft.com/office/drawing/2014/main" id="{1E4AEA85-423C-43CE-995B-F0754C0A2BEE}"/>
            </a:ext>
          </a:extLst>
        </xdr:cNvPr>
        <xdr:cNvSpPr/>
      </xdr:nvSpPr>
      <xdr:spPr>
        <a:xfrm>
          <a:off x="16741967" y="8519711"/>
          <a:ext cx="275421" cy="275421"/>
        </a:xfrm>
        <a:prstGeom prst="ellipse">
          <a:avLst/>
        </a:prstGeom>
        <a:gradFill>
          <a:gsLst>
            <a:gs pos="0">
              <a:schemeClr val="bg1">
                <a:lumMod val="85000"/>
                <a:alpha val="70000"/>
              </a:schemeClr>
            </a:gs>
            <a:gs pos="65000">
              <a:srgbClr val="5F5F5F">
                <a:alpha val="70000"/>
              </a:srgbClr>
            </a:gs>
            <a:gs pos="100000">
              <a:schemeClr val="tx1">
                <a:lumMod val="75000"/>
                <a:lumOff val="25000"/>
                <a:alpha val="70000"/>
              </a:schemeClr>
            </a:gs>
          </a:gsLst>
          <a:lin ang="135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21</xdr:row>
      <xdr:rowOff>0</xdr:rowOff>
    </xdr:from>
    <xdr:to>
      <xdr:col>5</xdr:col>
      <xdr:colOff>0</xdr:colOff>
      <xdr:row>32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6D2D82-E49B-4577-BF11-979055B496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7620</xdr:colOff>
      <xdr:row>20</xdr:row>
      <xdr:rowOff>179070</xdr:rowOff>
    </xdr:from>
    <xdr:to>
      <xdr:col>10</xdr:col>
      <xdr:colOff>15240</xdr:colOff>
      <xdr:row>32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FF5198-5682-4718-B024-CF492D19E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21</xdr:row>
      <xdr:rowOff>3810</xdr:rowOff>
    </xdr:from>
    <xdr:to>
      <xdr:col>15</xdr:col>
      <xdr:colOff>15240</xdr:colOff>
      <xdr:row>32</xdr:row>
      <xdr:rowOff>83820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1BF77C9-6F47-4312-ADD9-831288326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15240</xdr:colOff>
      <xdr:row>21</xdr:row>
      <xdr:rowOff>3810</xdr:rowOff>
    </xdr:from>
    <xdr:to>
      <xdr:col>20</xdr:col>
      <xdr:colOff>15240</xdr:colOff>
      <xdr:row>32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929F90D-65A2-47E9-A941-F17F1FB1C8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33</xdr:row>
      <xdr:rowOff>3810</xdr:rowOff>
    </xdr:from>
    <xdr:to>
      <xdr:col>4</xdr:col>
      <xdr:colOff>601980</xdr:colOff>
      <xdr:row>44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ADBDDE-C592-439C-B4BD-DAC1B21E58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33</xdr:row>
      <xdr:rowOff>179070</xdr:rowOff>
    </xdr:from>
    <xdr:to>
      <xdr:col>4</xdr:col>
      <xdr:colOff>594360</xdr:colOff>
      <xdr:row>45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8CD37D5-5683-4DB4-947E-B45575A75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7620</xdr:colOff>
      <xdr:row>34</xdr:row>
      <xdr:rowOff>3810</xdr:rowOff>
    </xdr:from>
    <xdr:to>
      <xdr:col>10</xdr:col>
      <xdr:colOff>15240</xdr:colOff>
      <xdr:row>45</xdr:row>
      <xdr:rowOff>83820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341C1C-197C-48AD-8AB2-F9200F016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7620</xdr:colOff>
      <xdr:row>33</xdr:row>
      <xdr:rowOff>179070</xdr:rowOff>
    </xdr:from>
    <xdr:to>
      <xdr:col>15</xdr:col>
      <xdr:colOff>7620</xdr:colOff>
      <xdr:row>45</xdr:row>
      <xdr:rowOff>91440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D2D40D0-C8AE-45F0-8CFC-685C346EA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99060</xdr:colOff>
      <xdr:row>45</xdr:row>
      <xdr:rowOff>137160</xdr:rowOff>
    </xdr:from>
    <xdr:to>
      <xdr:col>15</xdr:col>
      <xdr:colOff>137160</xdr:colOff>
      <xdr:row>54</xdr:row>
      <xdr:rowOff>171450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39214FF-E494-4262-A330-DF77D8C8B2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13310-314C-4DFA-9BF7-1BD58CDA4733}">
  <sheetPr codeName="Sheet1"/>
  <dimension ref="D12:AB33"/>
  <sheetViews>
    <sheetView showGridLines="0" showRowColHeaders="0" tabSelected="1" zoomScale="83" zoomScaleNormal="83" workbookViewId="0">
      <selection activeCell="G16" sqref="G16:J16"/>
    </sheetView>
  </sheetViews>
  <sheetFormatPr defaultRowHeight="14.4" x14ac:dyDescent="0.3"/>
  <cols>
    <col min="6" max="6" width="10" customWidth="1"/>
    <col min="10" max="10" width="8.21875" customWidth="1"/>
    <col min="17" max="17" width="10.77734375" customWidth="1"/>
    <col min="18" max="18" width="8.6640625" customWidth="1"/>
    <col min="21" max="21" width="10.6640625" customWidth="1"/>
    <col min="24" max="24" width="4.88671875" customWidth="1"/>
    <col min="27" max="27" width="10.44140625" customWidth="1"/>
    <col min="28" max="28" width="4.88671875" customWidth="1"/>
  </cols>
  <sheetData>
    <row r="12" spans="7:28" ht="10.199999999999999" customHeight="1" x14ac:dyDescent="0.3"/>
    <row r="13" spans="7:28" ht="16.95" customHeight="1" x14ac:dyDescent="0.3">
      <c r="G13" s="15" t="s">
        <v>18</v>
      </c>
      <c r="H13" s="15"/>
      <c r="I13" s="15"/>
      <c r="J13" s="15"/>
      <c r="K13" s="1"/>
      <c r="R13" s="15" t="s">
        <v>19</v>
      </c>
      <c r="S13" s="15"/>
      <c r="T13" s="15"/>
      <c r="U13" s="15"/>
      <c r="V13" s="4"/>
      <c r="Y13" s="15"/>
      <c r="Z13" s="15"/>
      <c r="AA13" s="15"/>
      <c r="AB13" s="2"/>
    </row>
    <row r="14" spans="7:28" ht="16.95" customHeight="1" x14ac:dyDescent="0.3">
      <c r="G14" s="15" t="s">
        <v>20</v>
      </c>
      <c r="H14" s="15"/>
      <c r="I14" s="15"/>
      <c r="J14" s="15"/>
      <c r="K14" s="1"/>
      <c r="R14" s="15" t="s">
        <v>21</v>
      </c>
      <c r="S14" s="15"/>
      <c r="T14" s="15"/>
      <c r="U14" s="15"/>
      <c r="V14" s="4"/>
      <c r="Y14" s="15"/>
      <c r="Z14" s="15"/>
      <c r="AA14" s="15"/>
      <c r="AB14" s="2"/>
    </row>
    <row r="15" spans="7:28" ht="16.95" customHeight="1" x14ac:dyDescent="0.3">
      <c r="G15" s="15" t="s">
        <v>22</v>
      </c>
      <c r="H15" s="15"/>
      <c r="I15" s="15"/>
      <c r="J15" s="15"/>
      <c r="K15" s="1"/>
      <c r="O15" s="4"/>
      <c r="P15" s="4"/>
      <c r="R15" s="15"/>
      <c r="S15" s="15"/>
      <c r="T15" s="15"/>
      <c r="U15" s="15"/>
      <c r="V15" s="4"/>
      <c r="Y15" s="15"/>
      <c r="Z15" s="15"/>
      <c r="AA15" s="15"/>
      <c r="AB15" s="2"/>
    </row>
    <row r="16" spans="7:28" ht="16.95" customHeight="1" x14ac:dyDescent="0.3">
      <c r="G16" s="15"/>
      <c r="H16" s="15"/>
      <c r="I16" s="15"/>
      <c r="J16" s="15"/>
      <c r="K16" s="1"/>
      <c r="O16" s="4"/>
      <c r="P16" s="4"/>
      <c r="R16" s="15"/>
      <c r="S16" s="15"/>
      <c r="T16" s="15"/>
      <c r="U16" s="15"/>
      <c r="V16" s="4"/>
      <c r="Y16" s="15"/>
      <c r="Z16" s="15"/>
      <c r="AA16" s="15"/>
      <c r="AB16" s="2"/>
    </row>
    <row r="17" spans="4:28" ht="16.95" customHeight="1" x14ac:dyDescent="0.3">
      <c r="G17" s="15"/>
      <c r="H17" s="15"/>
      <c r="I17" s="15"/>
      <c r="J17" s="15"/>
      <c r="K17" s="1"/>
      <c r="O17" s="4"/>
      <c r="P17" s="4"/>
      <c r="R17" s="15"/>
      <c r="S17" s="15"/>
      <c r="T17" s="15"/>
      <c r="U17" s="15"/>
      <c r="V17" s="4"/>
      <c r="Y17" s="15"/>
      <c r="Z17" s="15"/>
      <c r="AA17" s="15"/>
      <c r="AB17" s="2"/>
    </row>
    <row r="18" spans="4:28" ht="16.95" customHeight="1" x14ac:dyDescent="0.3">
      <c r="G18" s="15"/>
      <c r="H18" s="15"/>
      <c r="I18" s="15"/>
      <c r="J18" s="15"/>
      <c r="K18" s="1"/>
      <c r="O18" s="4"/>
      <c r="P18" s="4"/>
      <c r="R18" s="15"/>
      <c r="S18" s="15"/>
      <c r="T18" s="15"/>
      <c r="U18" s="15"/>
      <c r="V18" s="4"/>
      <c r="Y18" s="15"/>
      <c r="Z18" s="15"/>
      <c r="AA18" s="15"/>
      <c r="AB18" s="2"/>
    </row>
    <row r="19" spans="4:28" ht="16.95" customHeight="1" x14ac:dyDescent="0.3">
      <c r="G19" s="15"/>
      <c r="H19" s="15"/>
      <c r="I19" s="15"/>
      <c r="J19" s="15"/>
      <c r="K19" s="1"/>
      <c r="O19" s="4"/>
      <c r="P19" s="4"/>
      <c r="R19" s="15"/>
      <c r="S19" s="15"/>
      <c r="T19" s="15"/>
      <c r="U19" s="15"/>
      <c r="V19" s="4"/>
      <c r="Y19" s="15"/>
      <c r="Z19" s="15"/>
      <c r="AA19" s="15"/>
      <c r="AB19" s="2"/>
    </row>
    <row r="20" spans="4:28" ht="16.95" customHeight="1" x14ac:dyDescent="0.3">
      <c r="G20" s="15"/>
      <c r="H20" s="15"/>
      <c r="I20" s="15"/>
      <c r="J20" s="15"/>
      <c r="K20" s="1"/>
      <c r="O20" s="4"/>
      <c r="P20" s="4"/>
      <c r="R20" s="15"/>
      <c r="S20" s="15"/>
      <c r="T20" s="15"/>
      <c r="U20" s="15"/>
      <c r="V20" s="4"/>
      <c r="Y20" s="15"/>
      <c r="Z20" s="15"/>
      <c r="AA20" s="15"/>
      <c r="AB20" s="2"/>
    </row>
    <row r="21" spans="4:28" ht="16.95" customHeight="1" x14ac:dyDescent="0.3">
      <c r="G21" s="15"/>
      <c r="H21" s="15"/>
      <c r="I21" s="15"/>
      <c r="J21" s="15"/>
      <c r="K21" s="1"/>
      <c r="O21" s="4"/>
      <c r="P21" s="4"/>
      <c r="R21" s="15"/>
      <c r="S21" s="15"/>
      <c r="T21" s="15"/>
      <c r="U21" s="15"/>
      <c r="V21" s="4"/>
      <c r="Y21" s="15"/>
      <c r="Z21" s="15"/>
      <c r="AA21" s="15"/>
      <c r="AB21" s="2"/>
    </row>
    <row r="22" spans="4:28" ht="16.95" customHeight="1" x14ac:dyDescent="0.3">
      <c r="G22" s="15"/>
      <c r="H22" s="15"/>
      <c r="I22" s="15"/>
      <c r="J22" s="15"/>
      <c r="K22" s="1"/>
      <c r="O22" s="4"/>
      <c r="P22" s="4"/>
      <c r="R22" s="15"/>
      <c r="S22" s="15"/>
      <c r="T22" s="15"/>
      <c r="U22" s="15"/>
      <c r="V22" s="4"/>
      <c r="Y22" s="15"/>
      <c r="Z22" s="15"/>
      <c r="AA22" s="15"/>
      <c r="AB22" s="2"/>
    </row>
    <row r="23" spans="4:28" ht="16.95" customHeight="1" x14ac:dyDescent="0.3">
      <c r="D23" s="14"/>
      <c r="G23" s="15"/>
      <c r="H23" s="15"/>
      <c r="I23" s="15"/>
      <c r="J23" s="15"/>
      <c r="K23" s="1"/>
      <c r="O23" s="4"/>
      <c r="P23" s="4"/>
      <c r="R23" s="15"/>
      <c r="S23" s="15"/>
      <c r="T23" s="15"/>
      <c r="U23" s="15"/>
      <c r="V23" s="4"/>
      <c r="Y23" s="15"/>
      <c r="Z23" s="15"/>
      <c r="AA23" s="15"/>
      <c r="AB23" s="2"/>
    </row>
    <row r="24" spans="4:28" ht="16.95" customHeight="1" x14ac:dyDescent="0.3">
      <c r="G24" s="15"/>
      <c r="H24" s="15"/>
      <c r="I24" s="15"/>
      <c r="J24" s="15"/>
      <c r="K24" s="1"/>
      <c r="O24" s="4"/>
      <c r="P24" s="4"/>
      <c r="R24" s="15"/>
      <c r="S24" s="15"/>
      <c r="T24" s="15"/>
      <c r="U24" s="15"/>
      <c r="V24" s="4"/>
      <c r="Y24" s="15"/>
      <c r="Z24" s="15"/>
      <c r="AA24" s="15"/>
      <c r="AB24" s="2"/>
    </row>
    <row r="25" spans="4:28" ht="16.95" customHeight="1" x14ac:dyDescent="0.3">
      <c r="G25" s="15"/>
      <c r="H25" s="15"/>
      <c r="I25" s="15"/>
      <c r="J25" s="15"/>
      <c r="K25" s="1"/>
      <c r="O25" s="4"/>
      <c r="P25" s="4"/>
      <c r="R25" s="15"/>
      <c r="S25" s="15"/>
      <c r="T25" s="15"/>
      <c r="U25" s="15"/>
      <c r="V25" s="4"/>
      <c r="Y25" s="15"/>
      <c r="Z25" s="15"/>
      <c r="AA25" s="15"/>
      <c r="AB25" s="2"/>
    </row>
    <row r="26" spans="4:28" ht="16.95" customHeight="1" x14ac:dyDescent="0.3">
      <c r="G26" s="15"/>
      <c r="H26" s="15"/>
      <c r="I26" s="15"/>
      <c r="J26" s="15"/>
      <c r="K26" s="1"/>
      <c r="O26" s="4"/>
      <c r="P26" s="4"/>
      <c r="R26" s="15"/>
      <c r="S26" s="15"/>
      <c r="T26" s="15"/>
      <c r="U26" s="15"/>
      <c r="V26" s="4"/>
      <c r="Y26" s="15"/>
      <c r="Z26" s="15"/>
      <c r="AA26" s="15"/>
      <c r="AB26" s="2"/>
    </row>
    <row r="27" spans="4:28" ht="16.95" customHeight="1" x14ac:dyDescent="0.3">
      <c r="G27" s="15"/>
      <c r="H27" s="15"/>
      <c r="I27" s="15"/>
      <c r="J27" s="15"/>
      <c r="K27" s="1"/>
      <c r="O27" s="4"/>
      <c r="P27" s="4"/>
      <c r="R27" s="15"/>
      <c r="S27" s="15"/>
      <c r="T27" s="15"/>
      <c r="U27" s="15"/>
      <c r="V27" s="4"/>
      <c r="Y27" s="15"/>
      <c r="Z27" s="15"/>
      <c r="AA27" s="15"/>
      <c r="AB27" s="2"/>
    </row>
    <row r="28" spans="4:28" ht="16.95" customHeight="1" x14ac:dyDescent="0.3">
      <c r="G28" s="15"/>
      <c r="H28" s="15"/>
      <c r="I28" s="15"/>
      <c r="J28" s="15"/>
      <c r="K28" s="1"/>
      <c r="O28" s="4"/>
      <c r="P28" s="4"/>
      <c r="R28" s="15"/>
      <c r="S28" s="15"/>
      <c r="T28" s="15"/>
      <c r="U28" s="15"/>
      <c r="V28" s="4"/>
      <c r="Y28" s="15"/>
      <c r="Z28" s="15"/>
      <c r="AA28" s="15"/>
      <c r="AB28" s="2"/>
    </row>
    <row r="29" spans="4:28" ht="16.95" customHeight="1" x14ac:dyDescent="0.3">
      <c r="G29" s="15"/>
      <c r="H29" s="15"/>
      <c r="I29" s="15"/>
      <c r="J29" s="15"/>
      <c r="K29" s="1"/>
      <c r="O29" s="4"/>
      <c r="P29" s="4"/>
      <c r="R29" s="15"/>
      <c r="S29" s="15"/>
      <c r="T29" s="15"/>
      <c r="U29" s="15"/>
      <c r="V29" s="4"/>
      <c r="Y29" s="16"/>
      <c r="Z29" s="16"/>
      <c r="AA29" s="16"/>
      <c r="AB29" s="2"/>
    </row>
    <row r="30" spans="4:28" ht="16.95" customHeight="1" x14ac:dyDescent="0.3">
      <c r="G30" s="15"/>
      <c r="H30" s="15"/>
      <c r="I30" s="15"/>
      <c r="J30" s="15"/>
      <c r="K30" s="1"/>
      <c r="O30" s="4"/>
      <c r="P30" s="4"/>
      <c r="R30" s="15"/>
      <c r="S30" s="15"/>
      <c r="T30" s="15"/>
      <c r="U30" s="15"/>
      <c r="V30" s="4"/>
    </row>
    <row r="31" spans="4:28" ht="16.95" customHeight="1" x14ac:dyDescent="0.3">
      <c r="G31" s="15"/>
      <c r="H31" s="15"/>
      <c r="I31" s="15"/>
      <c r="J31" s="15"/>
      <c r="K31" s="1"/>
      <c r="R31" s="15"/>
      <c r="S31" s="15"/>
      <c r="T31" s="15"/>
      <c r="U31" s="15"/>
      <c r="V31" s="4"/>
    </row>
    <row r="32" spans="4:28" ht="16.95" customHeight="1" x14ac:dyDescent="0.3">
      <c r="G32" s="15"/>
      <c r="H32" s="15"/>
      <c r="I32" s="15"/>
      <c r="J32" s="15"/>
      <c r="K32" s="1"/>
      <c r="R32" s="16"/>
      <c r="S32" s="16"/>
      <c r="T32" s="16"/>
      <c r="U32" s="16"/>
      <c r="V32" s="4"/>
    </row>
    <row r="33" spans="7:21" ht="17.399999999999999" x14ac:dyDescent="0.3">
      <c r="G33" s="17">
        <f>Sheet2!E16</f>
        <v>3</v>
      </c>
      <c r="H33" s="17"/>
      <c r="I33" s="17"/>
      <c r="J33" s="17"/>
      <c r="R33" s="17">
        <f>Sheet2!F16</f>
        <v>2</v>
      </c>
      <c r="S33" s="17"/>
      <c r="T33" s="17"/>
      <c r="U33" s="17"/>
    </row>
  </sheetData>
  <sortState xmlns:xlrd2="http://schemas.microsoft.com/office/spreadsheetml/2017/richdata2" ref="K13:K32">
    <sortCondition descending="1" ref="K13:K32"/>
  </sortState>
  <dataConsolidate/>
  <mergeCells count="59">
    <mergeCell ref="G18:J18"/>
    <mergeCell ref="G13:J13"/>
    <mergeCell ref="G14:J14"/>
    <mergeCell ref="G15:J15"/>
    <mergeCell ref="G16:J16"/>
    <mergeCell ref="G17:J17"/>
    <mergeCell ref="G30:J30"/>
    <mergeCell ref="G19:J19"/>
    <mergeCell ref="G20:J20"/>
    <mergeCell ref="G21:J21"/>
    <mergeCell ref="G22:J22"/>
    <mergeCell ref="G23:J23"/>
    <mergeCell ref="G24:J24"/>
    <mergeCell ref="R25:U25"/>
    <mergeCell ref="G31:J31"/>
    <mergeCell ref="G32:J32"/>
    <mergeCell ref="G33:J33"/>
    <mergeCell ref="R13:U13"/>
    <mergeCell ref="R14:U14"/>
    <mergeCell ref="R15:U15"/>
    <mergeCell ref="R16:U16"/>
    <mergeCell ref="R17:U17"/>
    <mergeCell ref="R18:U18"/>
    <mergeCell ref="R19:U19"/>
    <mergeCell ref="G25:J25"/>
    <mergeCell ref="G26:J26"/>
    <mergeCell ref="G27:J27"/>
    <mergeCell ref="G28:J28"/>
    <mergeCell ref="G29:J29"/>
    <mergeCell ref="R20:U20"/>
    <mergeCell ref="R21:U21"/>
    <mergeCell ref="R22:U22"/>
    <mergeCell ref="R23:U23"/>
    <mergeCell ref="R24:U24"/>
    <mergeCell ref="R32:U32"/>
    <mergeCell ref="R33:U33"/>
    <mergeCell ref="Y13:AA13"/>
    <mergeCell ref="Y14:AA14"/>
    <mergeCell ref="Y15:AA15"/>
    <mergeCell ref="Y16:AA16"/>
    <mergeCell ref="Y17:AA17"/>
    <mergeCell ref="Y18:AA18"/>
    <mergeCell ref="Y19:AA19"/>
    <mergeCell ref="Y20:AA20"/>
    <mergeCell ref="R26:U26"/>
    <mergeCell ref="R27:U27"/>
    <mergeCell ref="R28:U28"/>
    <mergeCell ref="R29:U29"/>
    <mergeCell ref="R30:U30"/>
    <mergeCell ref="R31:U31"/>
    <mergeCell ref="Y27:AA27"/>
    <mergeCell ref="Y28:AA28"/>
    <mergeCell ref="Y29:AA29"/>
    <mergeCell ref="Y21:AA21"/>
    <mergeCell ref="Y22:AA22"/>
    <mergeCell ref="Y23:AA23"/>
    <mergeCell ref="Y24:AA24"/>
    <mergeCell ref="Y25:AA25"/>
    <mergeCell ref="Y26:AA26"/>
  </mergeCells>
  <dataValidations count="1">
    <dataValidation type="list" allowBlank="1" showInputMessage="1" showErrorMessage="1" sqref="K13:K32 AB13:AB29" xr:uid="{1C606B06-7495-4128-97B9-FCE7C0938D10}">
      <formula1>"✔"</formula1>
    </dataValidation>
  </dataValidations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70A97-2C7E-4509-9C7C-CC167930D710}">
  <sheetPr codeName="Sheet2"/>
  <dimension ref="A1:S49"/>
  <sheetViews>
    <sheetView workbookViewId="0">
      <selection activeCell="P18" sqref="P18"/>
    </sheetView>
  </sheetViews>
  <sheetFormatPr defaultRowHeight="14.4" x14ac:dyDescent="0.3"/>
  <cols>
    <col min="16" max="16" width="11.21875" bestFit="1" customWidth="1"/>
  </cols>
  <sheetData>
    <row r="1" spans="1:14" x14ac:dyDescent="0.3">
      <c r="A1" s="18" t="s">
        <v>0</v>
      </c>
      <c r="B1" s="18"/>
      <c r="C1" s="18" t="s">
        <v>1</v>
      </c>
      <c r="D1" s="18"/>
      <c r="E1" s="18" t="s">
        <v>2</v>
      </c>
      <c r="F1" s="18"/>
      <c r="G1" s="18" t="s">
        <v>3</v>
      </c>
      <c r="H1" s="18"/>
      <c r="I1" s="18" t="s">
        <v>4</v>
      </c>
      <c r="J1" s="18"/>
      <c r="K1" s="18" t="s">
        <v>5</v>
      </c>
      <c r="L1" s="18"/>
      <c r="M1" s="18" t="s">
        <v>6</v>
      </c>
      <c r="N1" s="18"/>
    </row>
    <row r="2" spans="1:14" x14ac:dyDescent="0.3">
      <c r="A2" s="8" t="s">
        <v>18</v>
      </c>
      <c r="B2" s="8" t="s">
        <v>20</v>
      </c>
      <c r="C2" s="8" t="s">
        <v>10</v>
      </c>
      <c r="D2" s="8"/>
      <c r="E2" s="8" t="s">
        <v>18</v>
      </c>
      <c r="F2" s="8" t="s">
        <v>19</v>
      </c>
      <c r="G2" s="8" t="s">
        <v>18</v>
      </c>
      <c r="H2" s="8" t="s">
        <v>19</v>
      </c>
      <c r="I2" s="8" t="s">
        <v>15</v>
      </c>
      <c r="J2" s="8" t="s">
        <v>14</v>
      </c>
      <c r="K2" s="8" t="s">
        <v>12</v>
      </c>
      <c r="L2" s="8" t="s">
        <v>14</v>
      </c>
      <c r="M2" s="8" t="s">
        <v>14</v>
      </c>
      <c r="N2" s="8" t="s">
        <v>17</v>
      </c>
    </row>
    <row r="3" spans="1:14" x14ac:dyDescent="0.3">
      <c r="A3" s="8" t="s">
        <v>19</v>
      </c>
      <c r="B3" s="8"/>
      <c r="C3" s="8" t="s">
        <v>11</v>
      </c>
      <c r="D3" s="8"/>
      <c r="E3" s="8" t="s">
        <v>20</v>
      </c>
      <c r="F3" s="8" t="s">
        <v>21</v>
      </c>
      <c r="G3" s="8" t="s">
        <v>23</v>
      </c>
      <c r="H3" s="8" t="s">
        <v>21</v>
      </c>
      <c r="I3" s="8"/>
      <c r="J3" s="8"/>
      <c r="K3" s="8"/>
      <c r="L3" s="8" t="s">
        <v>13</v>
      </c>
      <c r="M3" s="8" t="s">
        <v>13</v>
      </c>
      <c r="N3" s="8" t="s">
        <v>15</v>
      </c>
    </row>
    <row r="4" spans="1:14" x14ac:dyDescent="0.3">
      <c r="A4" s="8"/>
      <c r="B4" s="8"/>
      <c r="C4" s="8"/>
      <c r="D4" s="8"/>
      <c r="E4" s="8" t="s">
        <v>22</v>
      </c>
      <c r="F4" s="8"/>
      <c r="G4" s="8"/>
      <c r="H4" s="8" t="s">
        <v>20</v>
      </c>
      <c r="I4" s="8"/>
      <c r="J4" s="8"/>
      <c r="K4" s="8"/>
      <c r="L4" s="8" t="s">
        <v>16</v>
      </c>
      <c r="M4" s="8"/>
      <c r="N4" s="8"/>
    </row>
    <row r="5" spans="1:14" x14ac:dyDescent="0.3">
      <c r="A5" s="8"/>
      <c r="B5" s="8"/>
      <c r="C5" s="8"/>
      <c r="D5" s="8"/>
      <c r="E5" s="8"/>
      <c r="F5" s="8"/>
      <c r="G5" s="8"/>
      <c r="H5" s="8" t="s">
        <v>22</v>
      </c>
      <c r="I5" s="8"/>
      <c r="J5" s="8"/>
      <c r="K5" s="8"/>
      <c r="L5" s="8"/>
      <c r="M5" s="8"/>
      <c r="N5" s="8"/>
    </row>
    <row r="6" spans="1:14" x14ac:dyDescent="0.3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1:14" x14ac:dyDescent="0.3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1:14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</row>
    <row r="11" spans="1:14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</row>
    <row r="12" spans="1:14" s="3" customFormat="1" x14ac:dyDescent="0.3">
      <c r="A12" s="9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spans="1:14" x14ac:dyDescent="0.3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</row>
    <row r="14" spans="1:14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4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4" x14ac:dyDescent="0.3">
      <c r="A16" s="11">
        <f>COUNTA(A2:A14)</f>
        <v>2</v>
      </c>
      <c r="B16" s="12">
        <f>COUNTA(B2:B15)</f>
        <v>1</v>
      </c>
      <c r="C16" s="11">
        <f>COUNTA(C2:C15)</f>
        <v>2</v>
      </c>
      <c r="D16" s="12">
        <f t="shared" ref="D16:N16" si="0">COUNTA(D2:D15)</f>
        <v>0</v>
      </c>
      <c r="E16" s="11">
        <f t="shared" si="0"/>
        <v>3</v>
      </c>
      <c r="F16" s="12">
        <f t="shared" si="0"/>
        <v>2</v>
      </c>
      <c r="G16" s="11">
        <f t="shared" si="0"/>
        <v>2</v>
      </c>
      <c r="H16" s="12">
        <f t="shared" si="0"/>
        <v>4</v>
      </c>
      <c r="I16" s="11">
        <f t="shared" si="0"/>
        <v>1</v>
      </c>
      <c r="J16" s="12">
        <f t="shared" si="0"/>
        <v>1</v>
      </c>
      <c r="K16" s="11">
        <f t="shared" si="0"/>
        <v>1</v>
      </c>
      <c r="L16" s="12">
        <f t="shared" si="0"/>
        <v>3</v>
      </c>
      <c r="M16" s="11">
        <f t="shared" si="0"/>
        <v>2</v>
      </c>
      <c r="N16" s="12">
        <f t="shared" si="0"/>
        <v>2</v>
      </c>
    </row>
    <row r="17" spans="1:19" x14ac:dyDescent="0.3">
      <c r="A17" s="8" t="s">
        <v>7</v>
      </c>
      <c r="B17" s="8" t="s">
        <v>8</v>
      </c>
      <c r="C17" s="8" t="s">
        <v>7</v>
      </c>
      <c r="D17" s="8" t="s">
        <v>8</v>
      </c>
      <c r="E17" s="8" t="s">
        <v>7</v>
      </c>
      <c r="F17" s="8" t="s">
        <v>8</v>
      </c>
      <c r="G17" s="8" t="s">
        <v>7</v>
      </c>
      <c r="H17" s="8" t="s">
        <v>8</v>
      </c>
      <c r="I17" s="8" t="s">
        <v>7</v>
      </c>
      <c r="J17" s="8" t="s">
        <v>8</v>
      </c>
      <c r="K17" s="8" t="s">
        <v>7</v>
      </c>
      <c r="L17" s="8" t="s">
        <v>8</v>
      </c>
      <c r="M17" s="8" t="s">
        <v>7</v>
      </c>
      <c r="N17" s="8" t="s">
        <v>8</v>
      </c>
      <c r="P17" s="6" t="s">
        <v>9</v>
      </c>
    </row>
    <row r="18" spans="1:19" x14ac:dyDescent="0.3">
      <c r="A18" s="8">
        <f>B16</f>
        <v>1</v>
      </c>
      <c r="B18" s="8">
        <f>A16</f>
        <v>2</v>
      </c>
      <c r="C18" s="8">
        <f t="shared" ref="C18" si="1">D16</f>
        <v>0</v>
      </c>
      <c r="D18" s="8">
        <f t="shared" ref="D18" si="2">C16</f>
        <v>2</v>
      </c>
      <c r="E18" s="8">
        <f t="shared" ref="E18" si="3">F16</f>
        <v>2</v>
      </c>
      <c r="F18" s="8">
        <f t="shared" ref="F18" si="4">E16</f>
        <v>3</v>
      </c>
      <c r="G18" s="8">
        <f t="shared" ref="G18" si="5">H16</f>
        <v>4</v>
      </c>
      <c r="H18" s="8">
        <f t="shared" ref="H18" si="6">G16</f>
        <v>2</v>
      </c>
      <c r="I18" s="8">
        <f t="shared" ref="I18" si="7">J16</f>
        <v>1</v>
      </c>
      <c r="J18" s="8">
        <f t="shared" ref="J18" si="8">I16</f>
        <v>1</v>
      </c>
      <c r="K18" s="8">
        <f t="shared" ref="K18" si="9">L16</f>
        <v>3</v>
      </c>
      <c r="L18" s="8">
        <f t="shared" ref="L18" si="10">K16</f>
        <v>1</v>
      </c>
      <c r="M18" s="8">
        <f t="shared" ref="M18" si="11">N16</f>
        <v>2</v>
      </c>
      <c r="N18" s="8">
        <f t="shared" ref="N18" si="12">M16</f>
        <v>2</v>
      </c>
      <c r="P18" s="7">
        <f>E19</f>
        <v>0.4</v>
      </c>
    </row>
    <row r="19" spans="1:19" x14ac:dyDescent="0.3">
      <c r="A19" s="13">
        <f>A18/(A18+B18)</f>
        <v>0.33333333333333331</v>
      </c>
      <c r="B19" s="8"/>
      <c r="C19" s="13">
        <f>C18/(C18+D18)</f>
        <v>0</v>
      </c>
      <c r="D19" s="8"/>
      <c r="E19" s="13">
        <f>E18/(E18+F18)</f>
        <v>0.4</v>
      </c>
      <c r="F19" s="8"/>
      <c r="G19" s="13">
        <f>G18/(G18+H18)</f>
        <v>0.66666666666666663</v>
      </c>
      <c r="H19" s="8"/>
      <c r="I19" s="13">
        <f>I18/(I18+J18)</f>
        <v>0.5</v>
      </c>
      <c r="J19" s="8"/>
      <c r="K19" s="13">
        <f>K18/(K18+L18)</f>
        <v>0.75</v>
      </c>
      <c r="L19" s="8"/>
      <c r="M19" s="13">
        <f>M18/(M18+N18)</f>
        <v>0.5</v>
      </c>
      <c r="N19" s="8"/>
    </row>
    <row r="21" spans="1:19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</row>
    <row r="27" spans="1:19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1:19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>
        <v>0.5</v>
      </c>
      <c r="Q28" s="5"/>
      <c r="R28" s="5"/>
      <c r="S28" s="5"/>
    </row>
    <row r="29" spans="1:19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</row>
    <row r="31" spans="1:19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</row>
    <row r="34" spans="1:19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</row>
    <row r="35" spans="1:19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1:19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</row>
    <row r="37" spans="1:19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</row>
    <row r="38" spans="1:19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</row>
    <row r="39" spans="1:19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1:19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</row>
    <row r="41" spans="1:19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</row>
    <row r="42" spans="1:19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</row>
    <row r="43" spans="1:19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1:19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</row>
    <row r="45" spans="1:19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</row>
    <row r="46" spans="1:19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</row>
    <row r="48" spans="1:19" x14ac:dyDescent="0.3">
      <c r="A48" t="s">
        <v>0</v>
      </c>
      <c r="B48" t="s">
        <v>1</v>
      </c>
      <c r="C48" t="s">
        <v>2</v>
      </c>
      <c r="D48" t="s">
        <v>3</v>
      </c>
      <c r="E48" t="s">
        <v>4</v>
      </c>
      <c r="F48" t="s">
        <v>5</v>
      </c>
      <c r="G48" t="s">
        <v>6</v>
      </c>
    </row>
    <row r="49" spans="1:7" x14ac:dyDescent="0.3">
      <c r="A49" s="7">
        <f>A19</f>
        <v>0.33333333333333331</v>
      </c>
      <c r="B49" s="7">
        <f>C19</f>
        <v>0</v>
      </c>
      <c r="C49" s="7">
        <f>E19</f>
        <v>0.4</v>
      </c>
      <c r="D49" s="7">
        <f>G19</f>
        <v>0.66666666666666663</v>
      </c>
      <c r="E49" s="7">
        <f>I19</f>
        <v>0.5</v>
      </c>
      <c r="F49" s="7">
        <f>K19</f>
        <v>0.75</v>
      </c>
      <c r="G49" s="7">
        <f>M19</f>
        <v>0.5</v>
      </c>
    </row>
  </sheetData>
  <mergeCells count="7">
    <mergeCell ref="M1:N1"/>
    <mergeCell ref="A1:B1"/>
    <mergeCell ref="C1:D1"/>
    <mergeCell ref="E1:F1"/>
    <mergeCell ref="G1:H1"/>
    <mergeCell ref="I1:J1"/>
    <mergeCell ref="K1:L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Nhat Phong</cp:lastModifiedBy>
  <dcterms:created xsi:type="dcterms:W3CDTF">2021-07-25T09:24:07Z</dcterms:created>
  <dcterms:modified xsi:type="dcterms:W3CDTF">2022-04-04T13:43:20Z</dcterms:modified>
</cp:coreProperties>
</file>